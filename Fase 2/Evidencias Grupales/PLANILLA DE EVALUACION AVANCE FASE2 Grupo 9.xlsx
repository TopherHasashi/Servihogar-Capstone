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T:\Descargas\"/>
    </mc:Choice>
  </mc:AlternateContent>
  <xr:revisionPtr revIDLastSave="0" documentId="13_ncr:1_{E68630A5-3FCC-40A0-8BD4-5BA372CBC2F7}" xr6:coauthVersionLast="47" xr6:coauthVersionMax="47" xr10:uidLastSave="{00000000-0000-0000-0000-000000000000}"/>
  <bookViews>
    <workbookView xWindow="-120" yWindow="-120" windowWidth="29040" windowHeight="1572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0" i="1" l="1"/>
  <c r="D13" i="1"/>
  <c r="E13" i="1" s="1"/>
  <c r="F13" i="1"/>
  <c r="G13" i="1" s="1"/>
  <c r="H13" i="1"/>
  <c r="I13" i="1" s="1"/>
  <c r="J13" i="1"/>
  <c r="K13" i="1" s="1"/>
  <c r="B14" i="1"/>
  <c r="B15" i="1"/>
  <c r="B16" i="1"/>
  <c r="B17" i="1"/>
  <c r="B18" i="1"/>
  <c r="B19" i="1"/>
  <c r="B20" i="1"/>
  <c r="B13" i="1"/>
  <c r="D14" i="1" l="1"/>
  <c r="E14" i="1" s="1"/>
  <c r="D15" i="1"/>
  <c r="E15" i="1" s="1"/>
  <c r="D16" i="1"/>
  <c r="E16" i="1" s="1"/>
  <c r="D17" i="1"/>
  <c r="E17" i="1" s="1"/>
  <c r="D18" i="1"/>
  <c r="E18" i="1" s="1"/>
  <c r="D19" i="1"/>
  <c r="E19" i="1" s="1"/>
  <c r="F20" i="1"/>
  <c r="G20" i="1" s="1"/>
  <c r="F17" i="1" l="1"/>
  <c r="G17" i="1" s="1"/>
  <c r="H17" i="1"/>
  <c r="I17" i="1" s="1"/>
  <c r="J17" i="1"/>
  <c r="K17" i="1" s="1"/>
  <c r="J20" i="1"/>
  <c r="K20" i="1" s="1"/>
  <c r="H20" i="1"/>
  <c r="I20" i="1" s="1"/>
  <c r="E20" i="1"/>
  <c r="J19" i="1"/>
  <c r="K19" i="1" s="1"/>
  <c r="H19" i="1"/>
  <c r="I19" i="1" s="1"/>
  <c r="F19" i="1"/>
  <c r="G19" i="1" s="1"/>
  <c r="J18" i="1"/>
  <c r="K18" i="1" s="1"/>
  <c r="H18" i="1"/>
  <c r="I18" i="1" s="1"/>
  <c r="F18" i="1"/>
  <c r="G18" i="1" s="1"/>
  <c r="J16" i="1"/>
  <c r="K16" i="1" s="1"/>
  <c r="H16" i="1"/>
  <c r="I16" i="1" s="1"/>
  <c r="F16" i="1"/>
  <c r="G16" i="1" s="1"/>
  <c r="J15" i="1"/>
  <c r="K15" i="1" s="1"/>
  <c r="H15" i="1"/>
  <c r="I15" i="1" s="1"/>
  <c r="F15" i="1"/>
  <c r="G15" i="1" s="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<sst xmlns="http://schemas.openxmlformats.org/spreadsheetml/2006/main" count="88" uniqueCount="70">
  <si>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</si>
  <si>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</si>
  <si>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</si>
  <si>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</si>
  <si>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</si>
  <si>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</si>
  <si>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</si>
  <si>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</si>
  <si>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</si>
  <si>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</si>
  <si>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</si>
  <si>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</si>
  <si>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</si>
  <si>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</si>
  <si>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</si>
  <si>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</si>
  <si>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</si>
  <si>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</si>
  <si>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</si>
  <si>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</si>
  <si>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</si>
  <si>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</si>
  <si>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</si>
  <si>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</si>
  <si>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</si>
  <si>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</si>
  <si>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</si>
  <si>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</si>
  <si>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</si>
  <si>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</si>
  <si>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</si>
  <si>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</si>
  <si>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</si>
  <si>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</si>
  <si>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</si>
  <si>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</si>
  <si>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</si>
  <si>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</si>
  <si>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</si>
  <si>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</si>
  <si>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</si>
  <si>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</si>
  <si>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</si>
  <si>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</si>
  <si>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</si>
  <si>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</si>
  <si>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</si>
  <si>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</si>
  <si>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</si>
  <si>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</si>
  <si>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</si>
  <si>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</si>
  <si>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</si>
  <si>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</si>
  <si>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</si>
  <si>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</si>
  <si>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</si>
  <si>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</si>
  <si>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</si>
  <si>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</si>
  <si>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</si>
  <si>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</si>
  <si>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REUQUE BARROS MATIAS ALEJANDRO</t>
  </si>
  <si>
    <t>SILVA SEPULVEDA JUAN CRISTOPHER</t>
  </si>
  <si>
    <t>Comentarios de retroalimentación:</t>
  </si>
  <si>
    <t>Registrar formalmente la retroalimentacion docente y su impacto en los ajustes. Documentar un segundo sprint completo.</t>
  </si>
  <si>
    <t>Documentar un segundo sprint con el mismo nivel de completitud. El sistema desarrollado claramente supero un sprint.</t>
  </si>
  <si>
    <t>Distribuir commits a lo largo del desarrollo. Corregir la ubicacion de la Autoevaluacion. El historial Git actual no refleja el proceso de desarrollo real.</t>
  </si>
  <si>
    <t>Subir el trabajo de forma continua con commits descriptivos por integrante. Juan Silva debe tener commits de codigo identificables a lo largo del periodo de desarrollo.</t>
  </si>
  <si>
    <t>Asignar modulos de codigo especificos a Juan Silva. Ambos deben poder explicar el sistema con fluidez tecnica en la presentacion.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</si>
</sst>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rgb="FF000000"/>
      <name val="Calibri"/>
    </font>
    <font>
      <sz val="11"/>
      <color theme="1"/>
      <name val="Calibri"/>
      <family val="2"/>
      <scheme val="minor"/>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10"/>
      <color theme="1"/>
      <name val="Calibri"/>
      <family val="2"/>
    </font>
    <font>
      <b/>
      <sz val="9"/>
      <color rgb="FF000000"/>
      <name val="Calibri"/>
      <family val="2"/>
    </font>
    <font>
      <u/>
      <sz val="11"/>
      <color theme="10"/>
      <name val="Calibri"/>
      <family val="2"/>
      <scheme val="minor"/>
    </font>
    <font>
      <sz val="8"/>
      <color rgb="FF000000"/>
      <name val="Arial"/>
      <family val="2"/>
    </font>
  </fonts>
  <fills count="8">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
      <patternFill patternType="solid">
        <fgColor rgb="FFFFFFFF"/>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
      <left/>
      <right style="medium">
        <color rgb="FFCCCCCC"/>
      </right>
      <top/>
      <bottom style="medium">
        <color rgb="FFCCCCCC"/>
      </bottom>
      <diagonal/>
    </border>
  </borders>
  <cellStyleXfs count="3">
    <xf numFmtId="0" fontId="0" fillId="0" borderId="0"/>
    <xf numFmtId="0" fontId="1" fillId="0" borderId="0"/>
    <xf numFmtId="0" fontId="19" fillId="0" borderId="0" applyNumberFormat="0" applyFill="0" applyBorder="0" applyAlignment="0" applyProtection="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2"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2" fillId="3" borderId="6" xfId="0" applyFont="1" applyFill="1" applyBorder="1" applyAlignment="1">
      <alignment vertical="center" wrapText="1"/>
    </xf>
    <xf numFmtId="0" fontId="2" fillId="3" borderId="7" xfId="0" applyFont="1" applyFill="1" applyBorder="1" applyAlignment="1">
      <alignment vertical="center" wrapText="1"/>
    </xf>
    <xf numFmtId="0" fontId="2" fillId="3" borderId="8" xfId="0" applyFont="1" applyFill="1" applyBorder="1" applyAlignment="1">
      <alignment vertical="center" wrapText="1"/>
    </xf>
    <xf numFmtId="0" fontId="2" fillId="3" borderId="10" xfId="0" applyFont="1" applyFill="1" applyBorder="1" applyAlignment="1">
      <alignment vertical="center" wrapText="1"/>
    </xf>
    <xf numFmtId="0" fontId="2" fillId="3" borderId="11" xfId="0" applyFont="1" applyFill="1" applyBorder="1" applyAlignment="1">
      <alignment vertical="center" wrapText="1"/>
    </xf>
    <xf numFmtId="0" fontId="2" fillId="3" borderId="12" xfId="0" applyFont="1" applyFill="1" applyBorder="1" applyAlignment="1">
      <alignment vertical="center" wrapText="1"/>
    </xf>
    <xf numFmtId="0" fontId="2" fillId="0" borderId="9" xfId="0" applyFont="1" applyBorder="1" applyAlignment="1">
      <alignment horizontal="left" vertical="center" wrapText="1"/>
    </xf>
    <xf numFmtId="0" fontId="2" fillId="0" borderId="13" xfId="0" applyFont="1" applyBorder="1" applyAlignment="1">
      <alignment horizontal="left" vertical="center" wrapText="1"/>
    </xf>
    <xf numFmtId="0" fontId="5" fillId="3" borderId="1" xfId="0" applyFont="1" applyFill="1" applyBorder="1" applyAlignment="1">
      <alignment horizontal="center" vertical="center"/>
    </xf>
    <xf numFmtId="0" fontId="8" fillId="0" borderId="1" xfId="0" applyFont="1" applyBorder="1" applyAlignment="1">
      <alignment horizontal="center" vertical="center"/>
    </xf>
    <xf numFmtId="0" fontId="0" fillId="5" borderId="1" xfId="0" applyFill="1" applyBorder="1"/>
    <xf numFmtId="164" fontId="9" fillId="0" borderId="1" xfId="0" applyNumberFormat="1" applyFont="1" applyBorder="1"/>
    <xf numFmtId="164" fontId="9" fillId="0" borderId="0" xfId="0" applyNumberFormat="1" applyFont="1"/>
    <xf numFmtId="0" fontId="6" fillId="3" borderId="2" xfId="0" applyFont="1" applyFill="1" applyBorder="1" applyAlignment="1">
      <alignment horizontal="center" vertical="center"/>
    </xf>
    <xf numFmtId="0" fontId="12" fillId="6" borderId="22"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4" fillId="0" borderId="23" xfId="0" applyFont="1" applyBorder="1" applyAlignment="1">
      <alignment horizontal="center" vertical="center" wrapText="1"/>
    </xf>
    <xf numFmtId="0" fontId="13" fillId="0" borderId="25" xfId="0" applyFont="1" applyBorder="1" applyAlignment="1">
      <alignment horizontal="justify" vertical="center" wrapText="1"/>
    </xf>
    <xf numFmtId="0" fontId="8" fillId="0" borderId="15" xfId="0" applyFont="1" applyBorder="1" applyAlignment="1">
      <alignment horizontal="left" vertical="center"/>
    </xf>
    <xf numFmtId="0" fontId="7" fillId="0" borderId="3" xfId="0" applyFont="1" applyBorder="1" applyAlignment="1">
      <alignment horizontal="right" vertical="center" wrapText="1"/>
    </xf>
    <xf numFmtId="0" fontId="7" fillId="0" borderId="25" xfId="0" applyFont="1" applyBorder="1" applyAlignment="1">
      <alignment horizontal="left" vertical="center" wrapText="1"/>
    </xf>
    <xf numFmtId="0" fontId="16" fillId="3" borderId="11" xfId="0" applyFont="1" applyFill="1" applyBorder="1" applyAlignment="1">
      <alignment vertical="center" wrapText="1"/>
    </xf>
    <xf numFmtId="0" fontId="7" fillId="0" borderId="4" xfId="0" applyFont="1" applyBorder="1" applyAlignment="1">
      <alignment horizontal="right" vertical="center" wrapText="1"/>
    </xf>
    <xf numFmtId="0" fontId="9" fillId="0" borderId="2" xfId="0" applyFont="1" applyBorder="1"/>
    <xf numFmtId="0" fontId="11" fillId="0" borderId="23" xfId="0" applyFont="1" applyBorder="1" applyAlignment="1">
      <alignment horizontal="center" vertical="center" wrapText="1"/>
    </xf>
    <xf numFmtId="0" fontId="15" fillId="2" borderId="1" xfId="0" applyFont="1" applyFill="1" applyBorder="1" applyAlignment="1">
      <alignment horizontal="center" vertical="center" wrapText="1"/>
    </xf>
    <xf numFmtId="0" fontId="15" fillId="0" borderId="0" xfId="0" applyFont="1" applyAlignment="1">
      <alignment wrapText="1"/>
    </xf>
    <xf numFmtId="0" fontId="11" fillId="0" borderId="27" xfId="0" applyFont="1" applyBorder="1" applyAlignment="1">
      <alignment horizontal="center" vertical="center" wrapText="1"/>
    </xf>
    <xf numFmtId="9" fontId="10" fillId="6" borderId="22" xfId="0" applyNumberFormat="1" applyFont="1" applyFill="1" applyBorder="1" applyAlignment="1">
      <alignment horizontal="center" vertical="center" wrapText="1"/>
    </xf>
    <xf numFmtId="0" fontId="14"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0" fillId="0" borderId="25" xfId="0" applyBorder="1"/>
    <xf numFmtId="0" fontId="18" fillId="0" borderId="0" xfId="0" applyFont="1" applyAlignment="1">
      <alignment horizontal="center" vertical="center" wrapText="1"/>
    </xf>
    <xf numFmtId="0" fontId="20" fillId="7" borderId="28" xfId="1" applyFont="1" applyFill="1" applyBorder="1" applyAlignment="1">
      <alignment vertical="center" wrapText="1"/>
    </xf>
    <xf numFmtId="0" fontId="4" fillId="4" borderId="2" xfId="0" applyFont="1" applyFill="1" applyBorder="1" applyAlignment="1">
      <alignment horizontal="center" vertical="center" textRotation="255"/>
    </xf>
    <xf numFmtId="0" fontId="3" fillId="0" borderId="16" xfId="0" applyFont="1" applyBorder="1"/>
    <xf numFmtId="0" fontId="3" fillId="0" borderId="26" xfId="0" applyFont="1" applyBorder="1"/>
    <xf numFmtId="0" fontId="3" fillId="0" borderId="3" xfId="0" applyFont="1" applyBorder="1"/>
    <xf numFmtId="0" fontId="6" fillId="3" borderId="2" xfId="0" applyFont="1" applyFill="1" applyBorder="1" applyAlignment="1">
      <alignment horizontal="center" vertical="center"/>
    </xf>
    <xf numFmtId="0" fontId="6" fillId="3" borderId="4" xfId="0" applyFont="1" applyFill="1" applyBorder="1" applyAlignment="1">
      <alignment horizontal="center" vertical="center"/>
    </xf>
    <xf numFmtId="0" fontId="3" fillId="0" borderId="15" xfId="0" applyFont="1" applyBorder="1"/>
    <xf numFmtId="0" fontId="3" fillId="0" borderId="14" xfId="0" applyFont="1" applyBorder="1"/>
    <xf numFmtId="0" fontId="11" fillId="3" borderId="4" xfId="0" applyFont="1" applyFill="1" applyBorder="1" applyAlignment="1">
      <alignment horizontal="center" vertical="center"/>
    </xf>
    <xf numFmtId="0" fontId="10" fillId="6" borderId="17" xfId="0" applyFont="1" applyFill="1" applyBorder="1" applyAlignment="1">
      <alignment horizontal="center" vertical="center" wrapText="1"/>
    </xf>
    <xf numFmtId="0" fontId="10" fillId="6" borderId="18" xfId="0" applyFont="1" applyFill="1" applyBorder="1" applyAlignment="1">
      <alignment horizontal="center" vertical="center" wrapText="1"/>
    </xf>
    <xf numFmtId="0" fontId="10" fillId="6" borderId="24"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2" fillId="6" borderId="17" xfId="0" applyFont="1" applyFill="1" applyBorder="1" applyAlignment="1">
      <alignment horizontal="center" vertical="center" wrapText="1"/>
    </xf>
    <xf numFmtId="0" fontId="12" fillId="6" borderId="18" xfId="0" applyFont="1" applyFill="1" applyBorder="1" applyAlignment="1">
      <alignment horizontal="center" vertical="center" wrapText="1"/>
    </xf>
    <xf numFmtId="0" fontId="2" fillId="3" borderId="5" xfId="0" applyFont="1" applyFill="1" applyBorder="1" applyAlignment="1">
      <alignment horizontal="left" vertical="center" wrapText="1"/>
    </xf>
    <xf numFmtId="0" fontId="3" fillId="0" borderId="9" xfId="0" applyFont="1" applyBorder="1"/>
  </cellXfs>
  <cellStyles count="3">
    <cellStyle name="Hyperlink" xfId="2" xr:uid="{B682A04E-9F66-40BA-83B7-1C486B4ACE94}"/>
    <cellStyle name="Normal" xfId="0" builtinId="0"/>
    <cellStyle name="Normal 2" xfId="1" xr:uid="{A68AA941-2F55-4DA9-87C0-01FE582B501F}"/>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C24" sqref="C2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1" t="s">
        <v>9</v>
      </c>
    </row>
    <row r="4" spans="1:11" x14ac:dyDescent="0.25">
      <c r="A4" s="4">
        <v>1</v>
      </c>
      <c r="B4" s="37" t="s">
        <v>62</v>
      </c>
      <c r="C4" s="5">
        <f>EVALUACION2!$C$22</f>
        <v>5.2</v>
      </c>
      <c r="G4" s="1"/>
    </row>
    <row r="5" spans="1:11" x14ac:dyDescent="0.25">
      <c r="A5" s="4">
        <v>2</v>
      </c>
      <c r="B5" s="37" t="s">
        <v>63</v>
      </c>
      <c r="C5" s="5">
        <f>EVALUACION2!$C$22</f>
        <v>5.2</v>
      </c>
      <c r="G5" s="1"/>
    </row>
    <row r="6" spans="1:11" x14ac:dyDescent="0.25">
      <c r="A6" s="4">
        <v>3</v>
      </c>
      <c r="B6" s="37"/>
      <c r="C6" s="5">
        <f>EVALUACION2!$C$22</f>
        <v>5.2</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19" t="s">
        <v>12</v>
      </c>
      <c r="C12" s="43"/>
      <c r="D12" s="45" t="s">
        <v>5</v>
      </c>
      <c r="E12" s="46"/>
      <c r="F12" s="45" t="s">
        <v>6</v>
      </c>
      <c r="G12" s="46"/>
      <c r="H12" s="48" t="s">
        <v>23</v>
      </c>
      <c r="I12" s="46"/>
      <c r="J12" s="45" t="s">
        <v>7</v>
      </c>
      <c r="K12" s="46"/>
    </row>
    <row r="13" spans="1:11" ht="24" outlineLevel="1" x14ac:dyDescent="0.25">
      <c r="A13" s="42"/>
      <c r="B13" s="26" t="str">
        <f>RUBRICA!A4</f>
        <v xml:space="preserve">1. Propone ajustes al Proyecto APT considerando dificultades, facilitadores y retroalimentación. </v>
      </c>
      <c r="C13" s="24" t="s">
        <v>6</v>
      </c>
      <c r="D13" s="15" t="str">
        <f t="shared" ref="D13:D17" si="0">IF($C13=CL,"X","")</f>
        <v/>
      </c>
      <c r="E13" s="15" t="str">
        <f>IF(D13="X",100*0.1,"")</f>
        <v/>
      </c>
      <c r="F13" s="15" t="str">
        <f t="shared" ref="F13:F17" si="1">IF($C13=L,"X","")</f>
        <v>X</v>
      </c>
      <c r="G13" s="15">
        <f>IF(F13="X",60*0.1,"")</f>
        <v>6</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6" t="str">
        <f>RUBRICA!A5</f>
        <v>2. Aplica una metodología que permite el logro de los objetivos propuestos, de acuerdo a los estándares de la disciplina.</v>
      </c>
      <c r="C14" s="24" t="s">
        <v>6</v>
      </c>
      <c r="D14" s="15" t="str">
        <f t="shared" si="0"/>
        <v/>
      </c>
      <c r="E14" s="15" t="str">
        <f>IF(D14="X",100*0.1,"")</f>
        <v/>
      </c>
      <c r="F14" s="15" t="str">
        <f t="shared" si="1"/>
        <v>X</v>
      </c>
      <c r="G14" s="15">
        <f>IF(F14="X",60*0.1,"")</f>
        <v>6</v>
      </c>
      <c r="H14" s="15" t="str">
        <f t="shared" si="2"/>
        <v/>
      </c>
      <c r="I14" s="15" t="str">
        <f>IF(H14="X",30*0.1,"")</f>
        <v/>
      </c>
      <c r="J14" s="15" t="str">
        <f t="shared" si="3"/>
        <v/>
      </c>
      <c r="K14" s="15" t="str">
        <f t="shared" si="4"/>
        <v/>
      </c>
    </row>
    <row r="15" spans="1:11" ht="48" outlineLevel="1" x14ac:dyDescent="0.25">
      <c r="A15" s="42"/>
      <c r="B15" s="26" t="str">
        <f>RUBRICA!A6</f>
        <v>3. Genera evidencias que dan cuenta del avance del Proyecto APT en relación a documentación, programación y almacenamiento de datos , de acuerdo a lo planificado por el equipo y que cumpla con estándares de desarrollo de la industria</v>
      </c>
      <c r="C15" s="24" t="s">
        <v>5</v>
      </c>
      <c r="D15" s="15" t="str">
        <f t="shared" si="0"/>
        <v>X</v>
      </c>
      <c r="E15" s="15">
        <f>IF(D15="X",100*0.25,"")</f>
        <v>25</v>
      </c>
      <c r="F15" s="15" t="str">
        <f t="shared" si="1"/>
        <v/>
      </c>
      <c r="G15" s="15" t="str">
        <f>IF(F15="X",60*0.25,"")</f>
        <v/>
      </c>
      <c r="H15" s="15" t="str">
        <f t="shared" si="2"/>
        <v/>
      </c>
      <c r="I15" s="15" t="str">
        <f>IF(H15="X",30*0.25,"")</f>
        <v/>
      </c>
      <c r="J15" s="15" t="str">
        <f t="shared" si="3"/>
        <v/>
      </c>
      <c r="K15" s="15" t="str">
        <f t="shared" si="4"/>
        <v/>
      </c>
    </row>
    <row r="16" spans="1:11" ht="24" outlineLevel="1" x14ac:dyDescent="0.25">
      <c r="A16" s="42"/>
      <c r="B16" s="26" t="str">
        <f>RUBRICA!A7</f>
        <v>4. Utiliza de manera precisa el lenguaje técnico en los entregables de acuerdo con lo requerido por la disciplina.</v>
      </c>
      <c r="C16" s="24"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6" t="str">
        <f>RUBRICA!A8</f>
        <v xml:space="preserve">5. Utiliza reglas de redacción, ortografía (literal, puntual, acentual) y las normas para citas y referencias. </v>
      </c>
      <c r="C17" s="24" t="s">
        <v>6</v>
      </c>
      <c r="D17" s="15" t="str">
        <f t="shared" si="0"/>
        <v/>
      </c>
      <c r="E17" s="15" t="str">
        <f>IF(D17="X",100*0.05,"")</f>
        <v/>
      </c>
      <c r="F17" s="15" t="str">
        <f t="shared" si="1"/>
        <v>X</v>
      </c>
      <c r="G17" s="15">
        <f>IF(F17="X",60*0.05,"")</f>
        <v>3</v>
      </c>
      <c r="H17" s="15" t="str">
        <f t="shared" si="2"/>
        <v/>
      </c>
      <c r="I17" s="15" t="str">
        <f>IF(H17="X",30*0.05,"")</f>
        <v/>
      </c>
      <c r="J17" s="15" t="str">
        <f t="shared" si="3"/>
        <v/>
      </c>
      <c r="K17" s="15" t="str">
        <f t="shared" si="4"/>
        <v/>
      </c>
    </row>
    <row r="18" spans="1:11" ht="36" outlineLevel="1" x14ac:dyDescent="0.25">
      <c r="A18" s="42"/>
      <c r="B18" s="26" t="str">
        <f>RUBRICA!A9</f>
        <v>6. Entrega la documentación y evidencias requerida por la asignatura de acuerdo a la estrucutra y nombres solicitados, guardando todas las evidencias de avances en Git</v>
      </c>
      <c r="C18" s="24" t="s">
        <v>6</v>
      </c>
      <c r="D18" s="15" t="str">
        <f>IF($C18=CL,"X","")</f>
        <v/>
      </c>
      <c r="E18" s="15" t="str">
        <f>IF(D18="X",100*0.2,"")</f>
        <v/>
      </c>
      <c r="F18" s="15" t="str">
        <f>IF($C18=L,"X","")</f>
        <v>X</v>
      </c>
      <c r="G18" s="15">
        <f>IF(F18="X",60*0.2,"")</f>
        <v>12</v>
      </c>
      <c r="H18" s="15" t="str">
        <f>IF($C18=ML,"X","")</f>
        <v/>
      </c>
      <c r="I18" s="15" t="str">
        <f>IF(H18="X",30*0.2,"")</f>
        <v/>
      </c>
      <c r="J18" s="15" t="str">
        <f>IF($C18=NL,"X","")</f>
        <v/>
      </c>
      <c r="K18" s="15" t="str">
        <f t="shared" ref="K18:K20" si="5">IF($J18="X",0,"")</f>
        <v/>
      </c>
    </row>
    <row r="19" spans="1:11" ht="36" outlineLevel="1" x14ac:dyDescent="0.25">
      <c r="A19" s="42"/>
      <c r="B19" s="26" t="str">
        <f>RUBRICA!A10</f>
        <v>7.- Generan evidencias claras dentro del repositorio  del aporte de cada uno de los integrantes del equipo que permitan identificar la equidad en el trabajo y la participación de cada estudiante.</v>
      </c>
      <c r="C19" s="24" t="s">
        <v>6</v>
      </c>
      <c r="D19" s="15" t="str">
        <f>IF($C19=CL,"X","")</f>
        <v/>
      </c>
      <c r="E19" s="15" t="str">
        <f>IF(D19="X",100*0.15,"")</f>
        <v/>
      </c>
      <c r="F19" s="15" t="str">
        <f>IF($C19=L,"X","")</f>
        <v>X</v>
      </c>
      <c r="G19" s="15">
        <f>IF(F19="X",60*0.15,"")</f>
        <v>9</v>
      </c>
      <c r="H19" s="15" t="str">
        <f>IF($C19=ML,"X","")</f>
        <v/>
      </c>
      <c r="I19" s="15" t="str">
        <f>IF(H19="X",30*0.15,"")</f>
        <v/>
      </c>
      <c r="J19" s="15" t="str">
        <f>IF($C19=NL,"X","")</f>
        <v/>
      </c>
      <c r="K19" s="15" t="str">
        <f t="shared" si="5"/>
        <v/>
      </c>
    </row>
    <row r="20" spans="1:11" ht="36" outlineLevel="1" x14ac:dyDescent="0.25">
      <c r="A20" s="42"/>
      <c r="B20" s="26" t="str">
        <f>RUBRICA!A11</f>
        <v>8. Demuestra un trabajo en equipo en donde todos los miembros del equipo expresan con fluidez el conocimiento del tema expuesto y  participan de las actividades planificadas en el proyecto</v>
      </c>
      <c r="C20" s="24"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5" t="s">
        <v>4</v>
      </c>
      <c r="C21" s="29">
        <f>E21+G21+I21+K21</f>
        <v>76</v>
      </c>
      <c r="D21" s="16"/>
      <c r="E21" s="16">
        <f>SUM(E13:E20)</f>
        <v>40</v>
      </c>
      <c r="F21" s="16"/>
      <c r="G21" s="16">
        <f>SUM(G13:G20)</f>
        <v>36</v>
      </c>
      <c r="H21" s="16"/>
      <c r="I21" s="16">
        <f>SUM(I13:I20)</f>
        <v>0</v>
      </c>
      <c r="J21" s="16"/>
      <c r="K21" s="16">
        <f>SUM(K13:K20)</f>
        <v>0</v>
      </c>
    </row>
    <row r="22" spans="1:11" ht="15.75" customHeight="1" outlineLevel="1" x14ac:dyDescent="0.3">
      <c r="A22" s="43"/>
      <c r="B22" s="28" t="s">
        <v>13</v>
      </c>
      <c r="C22" s="17">
        <f>VLOOKUP(C21,ESCALA_IEP!A2:B202,2,FALSE)</f>
        <v>5.2</v>
      </c>
    </row>
    <row r="23" spans="1:11" ht="15.75" customHeight="1" x14ac:dyDescent="0.25"/>
    <row r="24" spans="1:11" ht="48" customHeight="1" x14ac:dyDescent="0.25">
      <c r="B24" s="32"/>
    </row>
    <row r="25" spans="1:11" ht="15.75" customHeight="1" x14ac:dyDescent="0.3">
      <c r="B25" s="38" t="s">
        <v>64</v>
      </c>
      <c r="C25" s="18"/>
    </row>
    <row r="26" spans="1:11" ht="31.15" customHeight="1" thickBot="1" x14ac:dyDescent="0.3">
      <c r="B26" s="39" t="s">
        <v>65</v>
      </c>
    </row>
    <row r="27" spans="1:11" ht="23.25" thickBot="1" x14ac:dyDescent="0.3">
      <c r="B27" s="39" t="s">
        <v>66</v>
      </c>
    </row>
    <row r="28" spans="1:11" ht="23.25" thickBot="1" x14ac:dyDescent="0.3">
      <c r="B28" s="39" t="s">
        <v>67</v>
      </c>
    </row>
    <row r="29" spans="1:11" ht="23.25" thickBot="1" x14ac:dyDescent="0.3">
      <c r="B29" s="39" t="s">
        <v>68</v>
      </c>
    </row>
    <row r="30" spans="1:11" ht="23.25" thickBot="1" x14ac:dyDescent="0.3">
      <c r="B30" s="39" t="s">
        <v>69</v>
      </c>
    </row>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0" t="s">
        <v>18</v>
      </c>
      <c r="E2" s="21" t="s">
        <v>7</v>
      </c>
      <c r="F2" s="50"/>
    </row>
    <row r="3" spans="1:6" ht="15.75" thickBot="1" x14ac:dyDescent="0.3">
      <c r="A3" s="50"/>
      <c r="B3" s="56"/>
      <c r="C3" s="56"/>
      <c r="D3" s="34">
        <v>-0.3</v>
      </c>
      <c r="E3" s="34">
        <v>0</v>
      </c>
      <c r="F3" s="54"/>
    </row>
    <row r="4" spans="1:6" ht="51.75" thickBot="1" x14ac:dyDescent="0.3">
      <c r="A4" s="23" t="s">
        <v>26</v>
      </c>
      <c r="B4" s="23" t="s">
        <v>27</v>
      </c>
      <c r="C4" s="23" t="s">
        <v>28</v>
      </c>
      <c r="D4" s="23" t="s">
        <v>29</v>
      </c>
      <c r="E4" s="23" t="s">
        <v>30</v>
      </c>
      <c r="F4" s="22">
        <v>10</v>
      </c>
    </row>
    <row r="5" spans="1:6" ht="51.75" thickBot="1" x14ac:dyDescent="0.3">
      <c r="A5" s="23" t="s">
        <v>31</v>
      </c>
      <c r="B5" s="23" t="s">
        <v>41</v>
      </c>
      <c r="C5" s="23" t="s">
        <v>32</v>
      </c>
      <c r="D5" s="23" t="s">
        <v>33</v>
      </c>
      <c r="E5" s="23" t="s">
        <v>34</v>
      </c>
      <c r="F5" s="22">
        <v>10</v>
      </c>
    </row>
    <row r="6" spans="1:6" ht="90" thickBot="1" x14ac:dyDescent="0.3">
      <c r="A6" s="23" t="s">
        <v>42</v>
      </c>
      <c r="B6" s="23" t="s">
        <v>43</v>
      </c>
      <c r="C6" s="23" t="s">
        <v>44</v>
      </c>
      <c r="D6" s="23" t="s">
        <v>45</v>
      </c>
      <c r="E6" s="23" t="s">
        <v>46</v>
      </c>
      <c r="F6" s="22">
        <v>25</v>
      </c>
    </row>
    <row r="7" spans="1:6" ht="39" thickBot="1" x14ac:dyDescent="0.3">
      <c r="A7" s="23" t="s">
        <v>47</v>
      </c>
      <c r="B7" s="23" t="s">
        <v>48</v>
      </c>
      <c r="C7" s="23" t="s">
        <v>49</v>
      </c>
      <c r="D7" s="23" t="s">
        <v>50</v>
      </c>
      <c r="E7" s="23" t="s">
        <v>51</v>
      </c>
      <c r="F7" s="22">
        <v>5</v>
      </c>
    </row>
    <row r="8" spans="1:6" ht="51" x14ac:dyDescent="0.25">
      <c r="A8" s="23" t="s">
        <v>35</v>
      </c>
      <c r="B8" s="23" t="s">
        <v>22</v>
      </c>
      <c r="C8" s="23" t="s">
        <v>19</v>
      </c>
      <c r="D8" s="23" t="s">
        <v>20</v>
      </c>
      <c r="E8" s="23" t="s">
        <v>21</v>
      </c>
      <c r="F8" s="35">
        <v>5</v>
      </c>
    </row>
    <row r="9" spans="1:6" ht="51.75" thickBot="1" x14ac:dyDescent="0.3">
      <c r="A9" s="23" t="s">
        <v>52</v>
      </c>
      <c r="B9" s="23" t="s">
        <v>53</v>
      </c>
      <c r="C9" s="23" t="s">
        <v>54</v>
      </c>
      <c r="D9" s="23" t="s">
        <v>55</v>
      </c>
      <c r="E9" s="23" t="s">
        <v>56</v>
      </c>
      <c r="F9" s="22">
        <v>20</v>
      </c>
    </row>
    <row r="10" spans="1:6" ht="64.5" thickBot="1" x14ac:dyDescent="0.3">
      <c r="A10" s="36" t="s">
        <v>57</v>
      </c>
      <c r="B10" s="36" t="s">
        <v>58</v>
      </c>
      <c r="C10" s="36" t="s">
        <v>59</v>
      </c>
      <c r="D10" s="36" t="s">
        <v>60</v>
      </c>
      <c r="E10" s="36" t="s">
        <v>61</v>
      </c>
      <c r="F10" s="30">
        <v>15</v>
      </c>
    </row>
    <row r="11" spans="1:6" ht="81.599999999999994" customHeight="1" x14ac:dyDescent="0.25">
      <c r="A11" s="23" t="s">
        <v>36</v>
      </c>
      <c r="B11" s="23" t="s">
        <v>37</v>
      </c>
      <c r="C11" s="23" t="s">
        <v>38</v>
      </c>
      <c r="D11" s="23" t="s">
        <v>39</v>
      </c>
      <c r="E11" s="23" t="s">
        <v>40</v>
      </c>
      <c r="F11" s="33">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7"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JUAN CRISTOPHER SILVA SEPULVEDA</cp:lastModifiedBy>
  <dcterms:created xsi:type="dcterms:W3CDTF">2023-08-07T04:08:01Z</dcterms:created>
  <dcterms:modified xsi:type="dcterms:W3CDTF">2026-07-06T23:35:58Z</dcterms:modified>
</cp:coreProperties>
</file>